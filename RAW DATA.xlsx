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EAR TECH\Desktop\PAOS\PAOS MASTER DATABASE\"/>
    </mc:Choice>
  </mc:AlternateContent>
  <bookViews>
    <workbookView xWindow="0" yWindow="0" windowWidth="19200" windowHeight="6648" activeTab="2"/>
  </bookViews>
  <sheets>
    <sheet name="RAW" sheetId="1" r:id="rId1"/>
    <sheet name="FORECAST" sheetId="2" r:id="rId2"/>
    <sheet name="ANALYSIS" sheetId="3" r:id="rId3"/>
    <sheet name="DECISIONS" sheetId="4" r:id="rId4"/>
    <sheet name="METRIC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6" i="4" l="1"/>
  <c r="C4" i="4"/>
  <c r="C5" i="4"/>
  <c r="C6" i="4"/>
  <c r="C7" i="4"/>
  <c r="C8" i="4"/>
  <c r="C9" i="4"/>
  <c r="C10" i="4"/>
  <c r="C11" i="4"/>
  <c r="C12" i="4"/>
  <c r="C3" i="4"/>
  <c r="F7" i="3"/>
  <c r="F4" i="3"/>
  <c r="F5" i="3"/>
  <c r="F6" i="3"/>
  <c r="F8" i="3"/>
  <c r="F9" i="3"/>
  <c r="F10" i="3"/>
  <c r="F11" i="3"/>
  <c r="F12" i="3"/>
  <c r="F3" i="3"/>
  <c r="D8" i="3"/>
  <c r="E8" i="3" s="1"/>
  <c r="B3" i="3"/>
  <c r="B4" i="3"/>
  <c r="D4" i="3" s="1"/>
  <c r="E4" i="3" s="1"/>
  <c r="B5" i="3"/>
  <c r="B6" i="3"/>
  <c r="B7" i="3"/>
  <c r="B8" i="3"/>
  <c r="B9" i="3"/>
  <c r="B10" i="3"/>
  <c r="B11" i="3"/>
  <c r="B12" i="3"/>
  <c r="C11" i="3"/>
  <c r="D11" i="3" s="1"/>
  <c r="E11" i="3" s="1"/>
  <c r="C4" i="3"/>
  <c r="C5" i="3"/>
  <c r="D5" i="3" s="1"/>
  <c r="E5" i="3" s="1"/>
  <c r="C6" i="3"/>
  <c r="D6" i="3" s="1"/>
  <c r="E6" i="3" s="1"/>
  <c r="C7" i="3"/>
  <c r="D7" i="3" s="1"/>
  <c r="E7" i="3" s="1"/>
  <c r="C8" i="3"/>
  <c r="C9" i="3"/>
  <c r="D9" i="3" s="1"/>
  <c r="E9" i="3" s="1"/>
  <c r="C10" i="3"/>
  <c r="D10" i="3" s="1"/>
  <c r="E10" i="3" s="1"/>
  <c r="C12" i="3"/>
  <c r="D12" i="3" s="1"/>
  <c r="E12" i="3" s="1"/>
  <c r="C3" i="3"/>
  <c r="D3" i="3" s="1"/>
  <c r="E3" i="3" s="1"/>
  <c r="B3" i="2"/>
  <c r="B4" i="2"/>
  <c r="B5" i="2"/>
  <c r="B6" i="2"/>
  <c r="B7" i="2"/>
  <c r="B8" i="2"/>
  <c r="B9" i="2"/>
  <c r="B10" i="2"/>
  <c r="B11" i="2"/>
  <c r="G8" i="3" l="1"/>
  <c r="H8" i="3" s="1"/>
  <c r="B8" i="4" s="1"/>
  <c r="G4" i="3"/>
  <c r="H4" i="3" s="1"/>
  <c r="G12" i="3"/>
  <c r="H12" i="3" s="1"/>
  <c r="B12" i="4" s="1"/>
  <c r="G10" i="3"/>
  <c r="H10" i="3" s="1"/>
  <c r="B10" i="4" s="1"/>
  <c r="D10" i="4" s="1"/>
  <c r="G6" i="3"/>
  <c r="H6" i="3" s="1"/>
  <c r="B6" i="4" s="1"/>
  <c r="G9" i="3"/>
  <c r="H9" i="3" s="1"/>
  <c r="B9" i="4" s="1"/>
  <c r="D9" i="4" s="1"/>
  <c r="G5" i="3"/>
  <c r="H5" i="3" s="1"/>
  <c r="B5" i="4" s="1"/>
  <c r="G11" i="3"/>
  <c r="H11" i="3" s="1"/>
  <c r="B11" i="4" s="1"/>
  <c r="D11" i="4" s="1"/>
  <c r="G7" i="3"/>
  <c r="H7" i="3" s="1"/>
  <c r="B7" i="4" s="1"/>
  <c r="G3" i="3"/>
  <c r="H3" i="3" s="1"/>
  <c r="B3" i="4" s="1"/>
  <c r="D7" i="4"/>
  <c r="D8" i="4"/>
  <c r="D12" i="4"/>
  <c r="B3" i="5" l="1"/>
  <c r="D3" i="4"/>
  <c r="D5" i="4"/>
  <c r="B4" i="4"/>
  <c r="B2" i="5"/>
  <c r="D4" i="4" l="1"/>
</calcChain>
</file>

<file path=xl/sharedStrings.xml><?xml version="1.0" encoding="utf-8"?>
<sst xmlns="http://schemas.openxmlformats.org/spreadsheetml/2006/main" count="64" uniqueCount="31">
  <si>
    <t>Medicine</t>
  </si>
  <si>
    <t>Month 1 Demand</t>
  </si>
  <si>
    <t>Month 2 Demand</t>
  </si>
  <si>
    <t>Month 3 Demand</t>
  </si>
  <si>
    <t>Current Stock</t>
  </si>
  <si>
    <t>Lead Time Days</t>
  </si>
  <si>
    <t>Paracetamol</t>
  </si>
  <si>
    <t>Amoxicillin</t>
  </si>
  <si>
    <t>Metformin</t>
  </si>
  <si>
    <t>ORS</t>
  </si>
  <si>
    <t>Artemisinin</t>
  </si>
  <si>
    <t>Ibuprofen</t>
  </si>
  <si>
    <t>Ciprofloxacin</t>
  </si>
  <si>
    <t>Insulin</t>
  </si>
  <si>
    <t>Salbutamol</t>
  </si>
  <si>
    <t>Zinc Tablets</t>
  </si>
  <si>
    <t>Forecast Demand</t>
  </si>
  <si>
    <t>Forecast</t>
  </si>
  <si>
    <t>Stock</t>
  </si>
  <si>
    <t>Demand Gap</t>
  </si>
  <si>
    <t>Risk Level</t>
  </si>
  <si>
    <t>Risk</t>
  </si>
  <si>
    <t>Action</t>
  </si>
  <si>
    <t>Manufacturing Flag</t>
  </si>
  <si>
    <t>Metric</t>
  </si>
  <si>
    <t>Value</t>
  </si>
  <si>
    <t>Stock out Rate</t>
  </si>
  <si>
    <t>Average Gap</t>
  </si>
  <si>
    <t>Coverage Status</t>
  </si>
  <si>
    <t>Days until stock-out</t>
  </si>
  <si>
    <t>Risk of Stock-out Before Refill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</si>
</sst>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2" fontId="3" fillId="0" borderId="1" xfId="0" applyNumberFormat="1" applyFont="1" applyBorder="1"/>
    <xf numFmtId="0" fontId="2" fillId="0" borderId="1" xfId="0" applyFont="1" applyBorder="1" applyAlignment="1">
      <alignment vertical="center" wrapText="1"/>
    </xf>
    <xf numFmtId="0" fontId="0" fillId="0" borderId="0" xfId="0" applyBorder="1"/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F13"/>
  <sheetViews>
    <sheetView workbookViewId="0">
      <selection activeCell="I8" sqref="I8"/>
    </sheetView>
  </sheetViews>
  <sheetFormatPr defaultRowHeight="14.4" x14ac:dyDescent="0.3"/>
  <cols>
    <col min="1" max="1" width="16.44140625" customWidth="1"/>
    <col min="2" max="2" width="18.33203125" customWidth="1"/>
    <col min="3" max="3" width="15.77734375" customWidth="1"/>
    <col min="4" max="4" width="17" customWidth="1"/>
    <col min="5" max="5" width="13.44140625" customWidth="1"/>
    <col min="6" max="6" width="14.33203125" customWidth="1"/>
  </cols>
  <sheetData>
    <row r="3" spans="1:6" ht="33" customHeight="1" x14ac:dyDescent="0.3">
      <c r="A3" s="1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5.6" x14ac:dyDescent="0.3">
      <c r="A4" s="2" t="s">
        <v>6</v>
      </c>
      <c r="B4" s="2">
        <v>1200</v>
      </c>
      <c r="C4" s="2">
        <v>1350</v>
      </c>
      <c r="D4" s="2">
        <v>1500</v>
      </c>
      <c r="E4" s="2">
        <v>1000</v>
      </c>
      <c r="F4" s="2">
        <v>7</v>
      </c>
    </row>
    <row r="5" spans="1:6" ht="15.6" x14ac:dyDescent="0.3">
      <c r="A5" s="2" t="s">
        <v>7</v>
      </c>
      <c r="B5" s="2">
        <v>800</v>
      </c>
      <c r="C5" s="2">
        <v>850</v>
      </c>
      <c r="D5" s="2">
        <v>900</v>
      </c>
      <c r="E5" s="2">
        <v>600</v>
      </c>
      <c r="F5" s="2">
        <v>10</v>
      </c>
    </row>
    <row r="6" spans="1:6" ht="15.6" x14ac:dyDescent="0.3">
      <c r="A6" s="2" t="s">
        <v>8</v>
      </c>
      <c r="B6" s="2">
        <v>700</v>
      </c>
      <c r="C6" s="2">
        <v>750</v>
      </c>
      <c r="D6" s="2">
        <v>780</v>
      </c>
      <c r="E6" s="2">
        <v>500</v>
      </c>
      <c r="F6" s="2">
        <v>14</v>
      </c>
    </row>
    <row r="7" spans="1:6" ht="15.6" x14ac:dyDescent="0.3">
      <c r="A7" s="2" t="s">
        <v>9</v>
      </c>
      <c r="B7" s="2">
        <v>500</v>
      </c>
      <c r="C7" s="2">
        <v>520</v>
      </c>
      <c r="D7" s="2">
        <v>600</v>
      </c>
      <c r="E7" s="2">
        <v>400</v>
      </c>
      <c r="F7" s="2">
        <v>5</v>
      </c>
    </row>
    <row r="8" spans="1:6" ht="15.6" x14ac:dyDescent="0.3">
      <c r="A8" s="2" t="s">
        <v>10</v>
      </c>
      <c r="B8" s="2">
        <v>300</v>
      </c>
      <c r="C8" s="2">
        <v>320</v>
      </c>
      <c r="D8" s="2">
        <v>350</v>
      </c>
      <c r="E8" s="2">
        <v>200</v>
      </c>
      <c r="F8" s="2">
        <v>12</v>
      </c>
    </row>
    <row r="9" spans="1:6" ht="15.6" x14ac:dyDescent="0.3">
      <c r="A9" s="2" t="s">
        <v>11</v>
      </c>
      <c r="B9" s="2">
        <v>900</v>
      </c>
      <c r="C9" s="2">
        <v>950</v>
      </c>
      <c r="D9" s="2">
        <v>1000</v>
      </c>
      <c r="E9" s="2">
        <v>700</v>
      </c>
      <c r="F9" s="2">
        <v>8</v>
      </c>
    </row>
    <row r="10" spans="1:6" ht="15.6" x14ac:dyDescent="0.3">
      <c r="A10" s="2" t="s">
        <v>12</v>
      </c>
      <c r="B10" s="2">
        <v>400</v>
      </c>
      <c r="C10" s="2">
        <v>420</v>
      </c>
      <c r="D10" s="2">
        <v>450</v>
      </c>
      <c r="E10" s="2">
        <v>300</v>
      </c>
      <c r="F10" s="2">
        <v>15</v>
      </c>
    </row>
    <row r="11" spans="1:6" ht="15.6" x14ac:dyDescent="0.3">
      <c r="A11" s="2" t="s">
        <v>13</v>
      </c>
      <c r="B11" s="2">
        <v>200</v>
      </c>
      <c r="C11" s="2">
        <v>220</v>
      </c>
      <c r="D11" s="2">
        <v>250</v>
      </c>
      <c r="E11" s="2">
        <v>150</v>
      </c>
      <c r="F11" s="2">
        <v>20</v>
      </c>
    </row>
    <row r="12" spans="1:6" ht="15.6" x14ac:dyDescent="0.3">
      <c r="A12" s="2" t="s">
        <v>14</v>
      </c>
      <c r="B12" s="2">
        <v>600</v>
      </c>
      <c r="C12" s="2">
        <v>650</v>
      </c>
      <c r="D12" s="2">
        <v>700</v>
      </c>
      <c r="E12" s="2">
        <v>450</v>
      </c>
      <c r="F12" s="2">
        <v>9</v>
      </c>
    </row>
    <row r="13" spans="1:6" ht="15.6" x14ac:dyDescent="0.3">
      <c r="A13" s="2" t="s">
        <v>15</v>
      </c>
      <c r="B13" s="2">
        <v>1000</v>
      </c>
      <c r="C13" s="2">
        <v>1100</v>
      </c>
      <c r="D13" s="2">
        <v>1200</v>
      </c>
      <c r="E13" s="2">
        <v>800</v>
      </c>
      <c r="F13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1"/>
  <sheetViews>
    <sheetView workbookViewId="0">
      <selection activeCell="B5" sqref="B5"/>
    </sheetView>
  </sheetViews>
  <sheetFormatPr defaultRowHeight="14.4" x14ac:dyDescent="0.3"/>
  <cols>
    <col min="1" max="1" width="16.88671875" customWidth="1"/>
    <col min="2" max="2" width="18.88671875" customWidth="1"/>
  </cols>
  <sheetData>
    <row r="1" spans="1:2" ht="30.6" customHeight="1" x14ac:dyDescent="0.3">
      <c r="A1" s="8" t="s">
        <v>0</v>
      </c>
      <c r="B1" s="8" t="s">
        <v>16</v>
      </c>
    </row>
    <row r="2" spans="1:2" ht="13.8" customHeight="1" x14ac:dyDescent="0.3">
      <c r="A2" s="2" t="s">
        <v>6</v>
      </c>
      <c r="B2" s="7">
        <f>AVERAGE(RAW!B4:D4)</f>
        <v>1350</v>
      </c>
    </row>
    <row r="3" spans="1:2" ht="12.6" customHeight="1" x14ac:dyDescent="0.3">
      <c r="A3" s="2" t="s">
        <v>7</v>
      </c>
      <c r="B3" s="7">
        <f>AVERAGE(RAW!B5:D5)</f>
        <v>850</v>
      </c>
    </row>
    <row r="4" spans="1:2" ht="15.6" x14ac:dyDescent="0.3">
      <c r="A4" s="2" t="s">
        <v>8</v>
      </c>
      <c r="B4" s="7">
        <f>AVERAGE(RAW!B6:D6)</f>
        <v>743.33333333333337</v>
      </c>
    </row>
    <row r="5" spans="1:2" ht="15.6" x14ac:dyDescent="0.3">
      <c r="A5" s="2" t="s">
        <v>9</v>
      </c>
      <c r="B5" s="7">
        <f>AVERAGE(RAW!B7:D7)</f>
        <v>540</v>
      </c>
    </row>
    <row r="6" spans="1:2" ht="15.6" x14ac:dyDescent="0.3">
      <c r="A6" s="2" t="s">
        <v>10</v>
      </c>
      <c r="B6" s="7">
        <f>AVERAGE(RAW!B8:D8)</f>
        <v>323.33333333333331</v>
      </c>
    </row>
    <row r="7" spans="1:2" ht="15.6" x14ac:dyDescent="0.3">
      <c r="A7" s="2" t="s">
        <v>11</v>
      </c>
      <c r="B7" s="7">
        <f>AVERAGE(RAW!B9:D9)</f>
        <v>950</v>
      </c>
    </row>
    <row r="8" spans="1:2" ht="15.6" x14ac:dyDescent="0.3">
      <c r="A8" s="2" t="s">
        <v>12</v>
      </c>
      <c r="B8" s="7">
        <f>AVERAGE(RAW!B10:D10)</f>
        <v>423.33333333333331</v>
      </c>
    </row>
    <row r="9" spans="1:2" ht="15.6" x14ac:dyDescent="0.3">
      <c r="A9" s="2" t="s">
        <v>13</v>
      </c>
      <c r="B9" s="7">
        <f>AVERAGE(RAW!B11:D11)</f>
        <v>223.33333333333334</v>
      </c>
    </row>
    <row r="10" spans="1:2" ht="15.6" x14ac:dyDescent="0.3">
      <c r="A10" s="2" t="s">
        <v>14</v>
      </c>
      <c r="B10" s="7">
        <f>AVERAGE(RAW!B12:D12)</f>
        <v>650</v>
      </c>
    </row>
    <row r="11" spans="1:2" ht="15.6" x14ac:dyDescent="0.3">
      <c r="A11" s="2" t="s">
        <v>15</v>
      </c>
      <c r="B11" s="7">
        <f>AVERAGE(RAW!B13:D13)</f>
        <v>1100</v>
      </c>
    </row>
  </sheetData>
  <pageMargins left="0.7" right="0.7" top="0.75" bottom="0.75" header="0.3" footer="0.3"/>
  <pageSetup orientation="portrait" horizontalDpi="0" verticalDpi="0" r:id="rId1"/>
  <ignoredErrors>
    <ignoredError sqref="B2:B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12"/>
  <sheetViews>
    <sheetView tabSelected="1" workbookViewId="0">
      <selection activeCell="D5" sqref="D5"/>
    </sheetView>
  </sheetViews>
  <sheetFormatPr defaultRowHeight="14.4" x14ac:dyDescent="0.3"/>
  <cols>
    <col min="1" max="1" width="12.21875" customWidth="1"/>
    <col min="2" max="2" width="11.109375" customWidth="1"/>
    <col min="4" max="5" width="13.44140625" customWidth="1"/>
    <col min="6" max="6" width="14.88671875" customWidth="1"/>
    <col min="7" max="7" width="17" customWidth="1"/>
    <col min="8" max="8" width="15" customWidth="1"/>
  </cols>
  <sheetData>
    <row r="1" spans="1:8" x14ac:dyDescent="0.3">
      <c r="A1" s="4"/>
      <c r="B1" s="4"/>
      <c r="C1" s="4"/>
      <c r="D1" s="4"/>
      <c r="E1" s="4"/>
      <c r="F1" s="4"/>
      <c r="G1" s="4"/>
      <c r="H1" s="4"/>
    </row>
    <row r="2" spans="1:8" ht="69.599999999999994" x14ac:dyDescent="0.3">
      <c r="A2" s="8" t="s">
        <v>0</v>
      </c>
      <c r="B2" s="8" t="s">
        <v>17</v>
      </c>
      <c r="C2" s="8" t="s">
        <v>18</v>
      </c>
      <c r="D2" s="8" t="s">
        <v>29</v>
      </c>
      <c r="E2" s="8" t="s">
        <v>28</v>
      </c>
      <c r="F2" s="8" t="s">
        <v>30</v>
      </c>
      <c r="G2" s="8" t="s">
        <v>19</v>
      </c>
      <c r="H2" s="8" t="s">
        <v>20</v>
      </c>
    </row>
    <row r="3" spans="1:8" ht="15.6" x14ac:dyDescent="0.3">
      <c r="A3" s="2" t="s">
        <v>6</v>
      </c>
      <c r="B3" s="7">
        <f>AVERAGE(RAW!B5:D5)</f>
        <v>850</v>
      </c>
      <c r="C3" s="2">
        <f>RAW!E4</f>
        <v>1000</v>
      </c>
      <c r="D3" s="11">
        <f>C3 / (B3/30)</f>
        <v>35.294117647058826</v>
      </c>
      <c r="E3" s="2" t="str">
        <f>IF(D3&lt;7,"CRITICAL",IF(D3&lt;15,"LOW",IF(D3&lt;30,"MODERATE","SAFE")))</f>
        <v>SAFE</v>
      </c>
      <c r="F3" s="2" t="str">
        <f>IF(RAW!F4 &gt; ANALYSIS!D3, "", "SAFE")</f>
        <v>SAFE</v>
      </c>
      <c r="G3" s="7">
        <f>B3-C3</f>
        <v>-150</v>
      </c>
      <c r="H3" s="2" t="str">
        <f>IF(G3&gt;0.2*B3,"HIGH",IF(G3&gt;0.05*B3,"MEDIUM","LOW"))</f>
        <v>LOW</v>
      </c>
    </row>
    <row r="4" spans="1:8" ht="15.6" x14ac:dyDescent="0.3">
      <c r="A4" s="2" t="s">
        <v>7</v>
      </c>
      <c r="B4" s="7">
        <f>AVERAGE(RAW!B6:D6)</f>
        <v>743.33333333333337</v>
      </c>
      <c r="C4" s="2">
        <f>RAW!E5</f>
        <v>600</v>
      </c>
      <c r="D4" s="11">
        <f t="shared" ref="D4:D12" si="0">C4 / (B4/30)</f>
        <v>24.215246636771301</v>
      </c>
      <c r="E4" s="2" t="str">
        <f t="shared" ref="E4:E12" si="1">IF(D4&lt;7,"CRITICAL",IF(D4&lt;15,"LOW",IF(D4&lt;30,"MODERATE","SAFE")))</f>
        <v>MODERATE</v>
      </c>
      <c r="F4" s="2" t="str">
        <f>IF(RAW!F5 &gt; ANALYSIS!D4, "", "SAFE")</f>
        <v>SAFE</v>
      </c>
      <c r="G4" s="7">
        <f t="shared" ref="G4:G12" si="2">B4-C4</f>
        <v>143.33333333333337</v>
      </c>
      <c r="H4" s="2" t="str">
        <f t="shared" ref="H4:H12" si="3">IF(G4&gt;0.2*B4,"HIGH",IF(G4&gt;0.05*B4,"MEDIUM","LOW"))</f>
        <v>MEDIUM</v>
      </c>
    </row>
    <row r="5" spans="1:8" ht="15.6" x14ac:dyDescent="0.3">
      <c r="A5" s="2" t="s">
        <v>8</v>
      </c>
      <c r="B5" s="7">
        <f>AVERAGE(RAW!B7:D7)</f>
        <v>540</v>
      </c>
      <c r="C5" s="2">
        <f>RAW!E6</f>
        <v>500</v>
      </c>
      <c r="D5" s="11">
        <f t="shared" si="0"/>
        <v>27.777777777777779</v>
      </c>
      <c r="E5" s="2" t="str">
        <f t="shared" si="1"/>
        <v>MODERATE</v>
      </c>
      <c r="F5" s="2" t="str">
        <f>IF(RAW!F6 &gt; ANALYSIS!D5, "", "SAFE")</f>
        <v>SAFE</v>
      </c>
      <c r="G5" s="7">
        <f t="shared" si="2"/>
        <v>40</v>
      </c>
      <c r="H5" s="2" t="str">
        <f t="shared" si="3"/>
        <v>MEDIUM</v>
      </c>
    </row>
    <row r="6" spans="1:8" ht="15.6" x14ac:dyDescent="0.3">
      <c r="A6" s="2" t="s">
        <v>9</v>
      </c>
      <c r="B6" s="7">
        <f>AVERAGE(RAW!B8:D8)</f>
        <v>323.33333333333331</v>
      </c>
      <c r="C6" s="2">
        <f>RAW!E7</f>
        <v>400</v>
      </c>
      <c r="D6" s="11">
        <f t="shared" si="0"/>
        <v>37.113402061855673</v>
      </c>
      <c r="E6" s="2" t="str">
        <f t="shared" si="1"/>
        <v>SAFE</v>
      </c>
      <c r="F6" s="2" t="str">
        <f>IF(RAW!F7 &gt; ANALYSIS!D6, "", "SAFE")</f>
        <v>SAFE</v>
      </c>
      <c r="G6" s="7">
        <f t="shared" si="2"/>
        <v>-76.666666666666686</v>
      </c>
      <c r="H6" s="2" t="str">
        <f t="shared" si="3"/>
        <v>LOW</v>
      </c>
    </row>
    <row r="7" spans="1:8" ht="15.6" x14ac:dyDescent="0.3">
      <c r="A7" s="2" t="s">
        <v>10</v>
      </c>
      <c r="B7" s="7">
        <f>AVERAGE(RAW!B9:D9)</f>
        <v>950</v>
      </c>
      <c r="C7" s="2">
        <f>RAW!E8</f>
        <v>200</v>
      </c>
      <c r="D7" s="11">
        <f t="shared" si="0"/>
        <v>6.3157894736842106</v>
      </c>
      <c r="E7" s="2" t="str">
        <f t="shared" si="1"/>
        <v>CRITICAL</v>
      </c>
      <c r="F7" s="2" t="str">
        <f>IF(RAW!F8 &gt; ANALYSIS!D7, "", "SAFE")</f>
        <v/>
      </c>
      <c r="G7" s="7">
        <f t="shared" si="2"/>
        <v>750</v>
      </c>
      <c r="H7" s="2" t="str">
        <f t="shared" si="3"/>
        <v>HIGH</v>
      </c>
    </row>
    <row r="8" spans="1:8" ht="15.6" x14ac:dyDescent="0.3">
      <c r="A8" s="2" t="s">
        <v>11</v>
      </c>
      <c r="B8" s="7">
        <f>AVERAGE(RAW!B10:D10)</f>
        <v>423.33333333333331</v>
      </c>
      <c r="C8" s="2">
        <f>RAW!E9</f>
        <v>700</v>
      </c>
      <c r="D8" s="11">
        <f t="shared" si="0"/>
        <v>49.606299212598429</v>
      </c>
      <c r="E8" s="2" t="str">
        <f t="shared" si="1"/>
        <v>SAFE</v>
      </c>
      <c r="F8" s="2" t="str">
        <f>IF(RAW!F9 &gt; ANALYSIS!D8, "", "SAFE")</f>
        <v>SAFE</v>
      </c>
      <c r="G8" s="7">
        <f t="shared" si="2"/>
        <v>-276.66666666666669</v>
      </c>
      <c r="H8" s="2" t="str">
        <f t="shared" si="3"/>
        <v>LOW</v>
      </c>
    </row>
    <row r="9" spans="1:8" ht="15.6" x14ac:dyDescent="0.3">
      <c r="A9" s="2" t="s">
        <v>12</v>
      </c>
      <c r="B9" s="7">
        <f>AVERAGE(RAW!B11:D11)</f>
        <v>223.33333333333334</v>
      </c>
      <c r="C9" s="2">
        <f>RAW!E10</f>
        <v>300</v>
      </c>
      <c r="D9" s="11">
        <f t="shared" si="0"/>
        <v>40.298507462686565</v>
      </c>
      <c r="E9" s="2" t="str">
        <f t="shared" si="1"/>
        <v>SAFE</v>
      </c>
      <c r="F9" s="2" t="str">
        <f>IF(RAW!F10 &gt; ANALYSIS!D9, "", "SAFE")</f>
        <v>SAFE</v>
      </c>
      <c r="G9" s="7">
        <f t="shared" si="2"/>
        <v>-76.666666666666657</v>
      </c>
      <c r="H9" s="2" t="str">
        <f t="shared" si="3"/>
        <v>LOW</v>
      </c>
    </row>
    <row r="10" spans="1:8" ht="15.6" x14ac:dyDescent="0.3">
      <c r="A10" s="2" t="s">
        <v>13</v>
      </c>
      <c r="B10" s="7">
        <f>AVERAGE(RAW!B12:D12)</f>
        <v>650</v>
      </c>
      <c r="C10" s="2">
        <f>RAW!E11</f>
        <v>150</v>
      </c>
      <c r="D10" s="11">
        <f t="shared" si="0"/>
        <v>6.9230769230769225</v>
      </c>
      <c r="E10" s="2" t="str">
        <f t="shared" si="1"/>
        <v>CRITICAL</v>
      </c>
      <c r="F10" s="2" t="str">
        <f>IF(RAW!F11 &gt; ANALYSIS!D10, "", "SAFE")</f>
        <v/>
      </c>
      <c r="G10" s="7">
        <f t="shared" si="2"/>
        <v>500</v>
      </c>
      <c r="H10" s="2" t="str">
        <f t="shared" si="3"/>
        <v>HIGH</v>
      </c>
    </row>
    <row r="11" spans="1:8" ht="15.6" x14ac:dyDescent="0.3">
      <c r="A11" s="2" t="s">
        <v>14</v>
      </c>
      <c r="B11" s="7">
        <f>AVERAGE(RAW!B13:D13)</f>
        <v>1100</v>
      </c>
      <c r="C11" s="2">
        <f>RAW!E12</f>
        <v>450</v>
      </c>
      <c r="D11" s="11">
        <f t="shared" si="0"/>
        <v>12.272727272727273</v>
      </c>
      <c r="E11" s="2" t="str">
        <f t="shared" si="1"/>
        <v>LOW</v>
      </c>
      <c r="F11" s="2" t="str">
        <f>IF(RAW!F12 &gt; ANALYSIS!D11, "", "SAFE")</f>
        <v>SAFE</v>
      </c>
      <c r="G11" s="7">
        <f t="shared" si="2"/>
        <v>650</v>
      </c>
      <c r="H11" s="2" t="str">
        <f t="shared" si="3"/>
        <v>HIGH</v>
      </c>
    </row>
    <row r="12" spans="1:8" ht="15.6" x14ac:dyDescent="0.3">
      <c r="A12" s="2" t="s">
        <v>15</v>
      </c>
      <c r="B12" s="7">
        <f>FORECAST!B11</f>
        <v>1100</v>
      </c>
      <c r="C12" s="2">
        <f>RAW!E13</f>
        <v>800</v>
      </c>
      <c r="D12" s="11">
        <f t="shared" si="0"/>
        <v>21.81818181818182</v>
      </c>
      <c r="E12" s="2" t="str">
        <f t="shared" si="1"/>
        <v>MODERATE</v>
      </c>
      <c r="F12" s="2" t="str">
        <f>IF(RAW!F13 &gt; ANALYSIS!D12, "", "SAFE")</f>
        <v>SAFE</v>
      </c>
      <c r="G12" s="7">
        <f t="shared" si="2"/>
        <v>300</v>
      </c>
      <c r="H12" s="2" t="str">
        <f t="shared" si="3"/>
        <v>HIGH</v>
      </c>
    </row>
  </sheetData>
  <pageMargins left="0.7" right="0.7" top="0.75" bottom="0.75" header="0.3" footer="0.3"/>
  <ignoredErrors>
    <ignoredError sqref="B3:B4 B5:B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D12"/>
  <sheetViews>
    <sheetView workbookViewId="0">
      <selection activeCell="C11" sqref="C11"/>
    </sheetView>
  </sheetViews>
  <sheetFormatPr defaultRowHeight="14.4" x14ac:dyDescent="0.3"/>
  <cols>
    <col min="1" max="1" width="14.21875" customWidth="1"/>
    <col min="2" max="2" width="9.5546875" customWidth="1"/>
    <col min="3" max="3" width="42.109375" customWidth="1"/>
    <col min="4" max="4" width="28.77734375" customWidth="1"/>
  </cols>
  <sheetData>
    <row r="1" spans="1:4" x14ac:dyDescent="0.3">
      <c r="A1" s="4"/>
      <c r="B1" s="4"/>
      <c r="C1" s="4"/>
      <c r="D1" s="4"/>
    </row>
    <row r="2" spans="1:4" ht="17.399999999999999" x14ac:dyDescent="0.3">
      <c r="A2" s="8" t="s">
        <v>0</v>
      </c>
      <c r="B2" s="8" t="s">
        <v>21</v>
      </c>
      <c r="C2" s="8" t="s">
        <v>22</v>
      </c>
      <c r="D2" s="8" t="s">
        <v>23</v>
      </c>
    </row>
    <row r="3" spans="1:4" ht="15.6" x14ac:dyDescent="0.3">
      <c r="A3" s="2" t="s">
        <v>6</v>
      </c>
      <c r="B3" s="6" t="str">
        <f>ANALYSIS!H3</f>
        <v>LOW</v>
      </c>
      <c r="C3" s="2" t="str">
        <f>IF(RAW!F4&gt;ANALYSIS!D3,"URGENT EMERGENCY PROCUREMENT",IF(AND(RAW!F4&gt;0.7*ANALYSIS!D3),"HIGH RISK - ORDER IMMEDIATELY",
"STABLE"))</f>
        <v>STABLE</v>
      </c>
      <c r="D3" s="5" t="str">
        <f>IF(AND(B3="HIGH",ANALYSIS!C3&gt;800),"CONSIDER LOCAL PRODUCTION","")</f>
        <v/>
      </c>
    </row>
    <row r="4" spans="1:4" ht="15.6" x14ac:dyDescent="0.3">
      <c r="A4" s="2" t="s">
        <v>7</v>
      </c>
      <c r="B4" s="6" t="str">
        <f>ANALYSIS!H4</f>
        <v>MEDIUM</v>
      </c>
      <c r="C4" s="2" t="str">
        <f>IF(RAW!F5&gt;ANALYSIS!D4,"URGENT EMERGENCY PROCUREMENT",IF(AND(RAW!F5&gt;0.7*ANALYSIS!D4),"HIGH RISK - ORDER IMMEDIATELY",
"STABLE"))</f>
        <v>STABLE</v>
      </c>
      <c r="D4" s="5" t="str">
        <f>IF(AND(B4="HIGH",ANALYSIS!C4&gt;800),"CONSIDER LOCAL PRODUCTION","")</f>
        <v/>
      </c>
    </row>
    <row r="5" spans="1:4" ht="15.6" x14ac:dyDescent="0.3">
      <c r="A5" s="2" t="s">
        <v>8</v>
      </c>
      <c r="B5" s="6" t="str">
        <f>ANALYSIS!H5</f>
        <v>MEDIUM</v>
      </c>
      <c r="C5" s="2" t="str">
        <f>IF(RAW!F6&gt;ANALYSIS!D5,"URGENT EMERGENCY PROCUREMENT",IF(AND(RAW!F6&gt;0.7*ANALYSIS!D5),"HIGH RISK - ORDER IMMEDIATELY",
"STABLE"))</f>
        <v>STABLE</v>
      </c>
      <c r="D5" s="5" t="str">
        <f>IF(AND(B5="HIGH",ANALYSIS!C5&gt;800),"CONSIDER LOCAL PRODUCTION","")</f>
        <v/>
      </c>
    </row>
    <row r="6" spans="1:4" ht="15.6" x14ac:dyDescent="0.3">
      <c r="A6" s="2" t="s">
        <v>9</v>
      </c>
      <c r="B6" s="6" t="str">
        <f>ANALYSIS!H6</f>
        <v>LOW</v>
      </c>
      <c r="C6" s="2" t="str">
        <f>IF(RAW!F7&gt;ANALYSIS!D6,"URGENT EMERGENCY PROCUREMENT",IF(AND(RAW!F7&gt;0.7*ANALYSIS!D6),"HIGH RISK - ORDER IMMEDIATELY",
"STABLE"))</f>
        <v>STABLE</v>
      </c>
      <c r="D6" s="5" t="str">
        <f>IF(AND(B6="HIGH",ANALYSIS!C6&gt;800),"CONSIDER LOCAL PRODUCTION","")</f>
        <v/>
      </c>
    </row>
    <row r="7" spans="1:4" ht="15.6" x14ac:dyDescent="0.3">
      <c r="A7" s="2" t="s">
        <v>10</v>
      </c>
      <c r="B7" s="6" t="str">
        <f>ANALYSIS!H7</f>
        <v>HIGH</v>
      </c>
      <c r="C7" s="2" t="str">
        <f>IF(RAW!F8&gt;ANALYSIS!D7,"URGENT EMERGENCY PROCUREMENT",IF(AND(RAW!F8&gt;0.7*ANALYSIS!D7),"HIGH RISK - ORDER IMMEDIATELY",
"STABLE"))</f>
        <v>URGENT EMERGENCY PROCUREMENT</v>
      </c>
      <c r="D7" s="5" t="str">
        <f>IF(AND(B7="HIGH",ANALYSIS!C7&gt;800),"CONSIDER LOCAL PRODUCTION","")</f>
        <v/>
      </c>
    </row>
    <row r="8" spans="1:4" ht="15.6" x14ac:dyDescent="0.3">
      <c r="A8" s="2" t="s">
        <v>11</v>
      </c>
      <c r="B8" s="6" t="str">
        <f>ANALYSIS!H8</f>
        <v>LOW</v>
      </c>
      <c r="C8" s="2" t="str">
        <f>IF(RAW!F9&gt;ANALYSIS!D8,"URGENT EMERGENCY PROCUREMENT",IF(AND(RAW!F9&gt;0.7*ANALYSIS!D8),"HIGH RISK - ORDER IMMEDIATELY",
"STABLE"))</f>
        <v>STABLE</v>
      </c>
      <c r="D8" s="5" t="str">
        <f>IF(AND(B8="HIGH",ANALYSIS!C8&gt;800),"CONSIDER LOCAL PRODUCTION","")</f>
        <v/>
      </c>
    </row>
    <row r="9" spans="1:4" ht="15.6" x14ac:dyDescent="0.3">
      <c r="A9" s="2" t="s">
        <v>12</v>
      </c>
      <c r="B9" s="6" t="str">
        <f>ANALYSIS!H9</f>
        <v>LOW</v>
      </c>
      <c r="C9" s="2" t="str">
        <f>IF(RAW!F10&gt;ANALYSIS!D9,"URGENT EMERGENCY PROCUREMENT",IF(AND(RAW!F10&gt;0.7*ANALYSIS!D9),"HIGH RISK - ORDER IMMEDIATELY",
"STABLE"))</f>
        <v>STABLE</v>
      </c>
      <c r="D9" s="5" t="str">
        <f>IF(AND(B9="HIGH",ANALYSIS!C9&gt;800),"CONSIDER LOCAL PRODUCTION","")</f>
        <v/>
      </c>
    </row>
    <row r="10" spans="1:4" ht="15.6" x14ac:dyDescent="0.3">
      <c r="A10" s="2" t="s">
        <v>13</v>
      </c>
      <c r="B10" s="6" t="str">
        <f>ANALYSIS!H10</f>
        <v>HIGH</v>
      </c>
      <c r="C10" s="2" t="str">
        <f>IF(RAW!F11&gt;ANALYSIS!D10,"URGENT EMERGENCY PROCUREMENT",IF(AND(RAW!F11&gt;0.7*ANALYSIS!D10),"HIGH RISK - ORDER IMMEDIATELY",
"STABLE"))</f>
        <v>URGENT EMERGENCY PROCUREMENT</v>
      </c>
      <c r="D10" s="5" t="str">
        <f>IF(AND(B10="HIGH",ANALYSIS!C10&gt;800),"CONSIDER LOCAL PRODUCTION","")</f>
        <v/>
      </c>
    </row>
    <row r="11" spans="1:4" ht="15.6" x14ac:dyDescent="0.3">
      <c r="A11" s="2" t="s">
        <v>14</v>
      </c>
      <c r="B11" s="6" t="str">
        <f>ANALYSIS!H11</f>
        <v>HIGH</v>
      </c>
      <c r="C11" s="2" t="str">
        <f>IF(RAW!F12&gt;ANALYSIS!D11,"URGENT EMERGENCY PROCUREMENT",IF(AND(RAW!F12&gt;0.7*ANALYSIS!D11),"HIGH RISK - ORDER IMMEDIATELY",
"STABLE"))</f>
        <v>HIGH RISK - ORDER IMMEDIATELY</v>
      </c>
      <c r="D11" s="5" t="str">
        <f>IF(AND(B11="HIGH",ANALYSIS!C11&gt;800),"CONSIDER LOCAL PRODUCTION","")</f>
        <v/>
      </c>
    </row>
    <row r="12" spans="1:4" ht="15.6" x14ac:dyDescent="0.3">
      <c r="A12" s="2" t="s">
        <v>15</v>
      </c>
      <c r="B12" s="6" t="str">
        <f>ANALYSIS!H12</f>
        <v>HIGH</v>
      </c>
      <c r="C12" s="2" t="str">
        <f>IF(RAW!F13&gt;ANALYSIS!D12,"URGENT EMERGENCY PROCUREMENT",IF(AND(RAW!F13&gt;0.7*ANALYSIS!D12),"HIGH RISK - ORDER IMMEDIATELY",
"STABLE"))</f>
        <v>STABLE</v>
      </c>
      <c r="D12" s="5" t="str">
        <f>IF(AND(B12="HIGH",ANALYSIS!C12&gt;800),"CONSIDER LOCAL PRODUCTION","")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6"/>
  <sheetViews>
    <sheetView workbookViewId="0">
      <selection activeCell="G7" sqref="G7"/>
    </sheetView>
  </sheetViews>
  <sheetFormatPr defaultRowHeight="14.4" x14ac:dyDescent="0.3"/>
  <cols>
    <col min="1" max="1" width="13.6640625" customWidth="1"/>
    <col min="2" max="2" width="11.5546875" bestFit="1" customWidth="1"/>
  </cols>
  <sheetData>
    <row r="1" spans="1:2" ht="17.399999999999999" x14ac:dyDescent="0.3">
      <c r="A1" s="1" t="s">
        <v>24</v>
      </c>
      <c r="B1" s="1" t="s">
        <v>25</v>
      </c>
    </row>
    <row r="2" spans="1:2" ht="15.6" x14ac:dyDescent="0.3">
      <c r="A2" s="2" t="s">
        <v>26</v>
      </c>
      <c r="B2" s="10">
        <f>COUNTIF(ANALYSIS!H:H,"HIGH")/COUNTA(ANALYSIS!A:A)</f>
        <v>0.36363636363636365</v>
      </c>
    </row>
    <row r="3" spans="1:2" ht="15.6" x14ac:dyDescent="0.3">
      <c r="A3" s="2" t="s">
        <v>27</v>
      </c>
      <c r="B3" s="10">
        <f>AVERAGE(ANALYSIS!G:G)</f>
        <v>180.33333333333334</v>
      </c>
    </row>
    <row r="4" spans="1:2" x14ac:dyDescent="0.3">
      <c r="A4" s="9"/>
      <c r="B4" s="9"/>
    </row>
    <row r="5" spans="1:2" x14ac:dyDescent="0.3">
      <c r="A5" s="9"/>
      <c r="B5" s="9"/>
    </row>
    <row r="6" spans="1:2" x14ac:dyDescent="0.3">
      <c r="A6" s="9"/>
      <c r="B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FORECAST</vt:lpstr>
      <vt:lpstr>ANALYSIS</vt:lpstr>
      <vt:lpstr>DECISIONS</vt:lpstr>
      <vt:lpstr>METRICS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 TECH</dc:creator>
  <cp:lastModifiedBy>CLEAR TECH</cp:lastModifiedBy>
  <dcterms:created xsi:type="dcterms:W3CDTF">2026-06-06T14:11:39Z</dcterms:created>
  <dcterms:modified xsi:type="dcterms:W3CDTF">2026-06-13T15:20:25Z</dcterms:modified>
</cp:coreProperties>
</file>